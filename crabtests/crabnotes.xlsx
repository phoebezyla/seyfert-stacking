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zylaphoe_msu_edu/Documents/HAWC/seyfert/stacking/"/>
    </mc:Choice>
  </mc:AlternateContent>
  <xr:revisionPtr revIDLastSave="77" documentId="8_{DE265A1E-A405-4308-B66B-1400773B82DB}" xr6:coauthVersionLast="47" xr6:coauthVersionMax="47" xr10:uidLastSave="{39B8FA90-A81F-4F20-882A-DE2C51A4F8CE}"/>
  <bookViews>
    <workbookView xWindow="19090" yWindow="1890" windowWidth="19420" windowHeight="11500" xr2:uid="{2CD5D228-29CC-48BE-B6A6-C35BBE647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6" i="1" l="1"/>
  <c r="N26" i="1"/>
  <c r="M27" i="1"/>
  <c r="N27" i="1"/>
  <c r="M28" i="1"/>
  <c r="N28" i="1"/>
  <c r="L27" i="1"/>
  <c r="L28" i="1"/>
  <c r="L26" i="1"/>
  <c r="L18" i="1"/>
  <c r="M18" i="1"/>
  <c r="N18" i="1"/>
  <c r="L19" i="1"/>
  <c r="M19" i="1"/>
  <c r="N19" i="1"/>
  <c r="M17" i="1"/>
  <c r="N17" i="1"/>
  <c r="L17" i="1"/>
  <c r="E27" i="1"/>
  <c r="D27" i="1"/>
  <c r="F27" i="1"/>
  <c r="D28" i="1"/>
  <c r="E28" i="1"/>
  <c r="F28" i="1"/>
  <c r="E26" i="1"/>
  <c r="F26" i="1"/>
  <c r="D26" i="1"/>
  <c r="E17" i="1"/>
  <c r="F17" i="1"/>
  <c r="E18" i="1"/>
  <c r="F18" i="1"/>
  <c r="E19" i="1"/>
  <c r="F19" i="1"/>
  <c r="D18" i="1"/>
  <c r="D19" i="1"/>
  <c r="D17" i="1"/>
</calcChain>
</file>

<file path=xl/sharedStrings.xml><?xml version="1.0" encoding="utf-8"?>
<sst xmlns="http://schemas.openxmlformats.org/spreadsheetml/2006/main" count="39" uniqueCount="13">
  <si>
    <t>Index</t>
  </si>
  <si>
    <t>Pivot Energy [TeV]</t>
  </si>
  <si>
    <t>Normalization (1/keV s cm^2)</t>
  </si>
  <si>
    <t>-log(likelihood)</t>
  </si>
  <si>
    <t>TS</t>
  </si>
  <si>
    <t>Normalization                   (1/keV s cm^2)</t>
  </si>
  <si>
    <t>One Crab, Individual likelihood profile</t>
  </si>
  <si>
    <t>One Crab, Stacked Profile</t>
  </si>
  <si>
    <t>Two Crabs, Stacked Profile</t>
  </si>
  <si>
    <t>Multiplication factor</t>
  </si>
  <si>
    <t>Modified CastroLike</t>
  </si>
  <si>
    <t>Two Crabs, Stacked Profile (50% 50%)</t>
  </si>
  <si>
    <t>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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</si>
</sst>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6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AE2D5"/>
        <bgColor indexed="64"/>
      </patternFill>
    </fill>
    <fill>
      <patternFill patternType="solid">
        <fgColor rgb="FFF2CEE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1" fontId="1" fillId="3" borderId="5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1" fontId="1" fillId="4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11" fontId="1" fillId="5" borderId="5" xfId="0" applyNumberFormat="1" applyFont="1" applyFill="1" applyBorder="1" applyAlignment="1">
      <alignment horizontal="center" vertical="center" wrapText="1"/>
    </xf>
    <xf numFmtId="0" fontId="0" fillId="6" borderId="0" xfId="0" applyFill="1"/>
    <xf numFmtId="11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1" fontId="1" fillId="3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7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textRotation="90" wrapText="1"/>
    </xf>
    <xf numFmtId="0" fontId="3" fillId="0" borderId="0" xfId="0" applyFont="1" applyBorder="1" applyAlignment="1">
      <alignment horizontal="center" vertical="center" textRotation="90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11" fontId="1" fillId="8" borderId="3" xfId="0" applyNumberFormat="1" applyFont="1" applyFill="1" applyBorder="1" applyAlignment="1">
      <alignment horizontal="center" vertical="center" wrapText="1"/>
    </xf>
    <xf numFmtId="11" fontId="1" fillId="8" borderId="5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1" fontId="4" fillId="3" borderId="5" xfId="0" applyNumberFormat="1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11" fontId="4" fillId="8" borderId="5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11" fontId="4" fillId="9" borderId="5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11" fontId="4" fillId="3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1" fontId="4" fillId="3" borderId="3" xfId="0" applyNumberFormat="1" applyFont="1" applyFill="1" applyBorder="1" applyAlignment="1">
      <alignment horizontal="center" vertical="center" wrapText="1"/>
    </xf>
    <xf numFmtId="11" fontId="4" fillId="8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6A47-2434-4A93-8A87-372D923C9507}">
  <dimension ref="A1:N37"/>
  <sheetViews>
    <sheetView tabSelected="1" topLeftCell="E10" zoomScale="87" workbookViewId="0">
      <selection activeCell="H16" sqref="H16"/>
    </sheetView>
  </sheetViews>
  <sheetFormatPr defaultRowHeight="15" x14ac:dyDescent="0.25"/>
  <cols>
    <col min="1" max="1" width="12.42578125" customWidth="1"/>
    <col min="3" max="3" width="21.7109375" customWidth="1"/>
    <col min="4" max="4" width="26.28515625" customWidth="1"/>
    <col min="5" max="5" width="25" customWidth="1"/>
    <col min="6" max="6" width="30" customWidth="1"/>
    <col min="9" max="9" width="15.42578125" customWidth="1"/>
    <col min="10" max="10" width="10.7109375" customWidth="1"/>
    <col min="11" max="11" width="20.5703125" customWidth="1"/>
    <col min="12" max="12" width="19" customWidth="1"/>
    <col min="13" max="14" width="25" customWidth="1"/>
  </cols>
  <sheetData>
    <row r="1" spans="1:14" ht="35.25" customHeight="1" thickBot="1" x14ac:dyDescent="0.3">
      <c r="A1" s="29" t="s">
        <v>6</v>
      </c>
      <c r="B1" s="1" t="s">
        <v>0</v>
      </c>
      <c r="C1" s="2" t="s">
        <v>1</v>
      </c>
      <c r="D1" s="2" t="s">
        <v>5</v>
      </c>
      <c r="E1" s="2" t="s">
        <v>3</v>
      </c>
      <c r="F1" s="2" t="s">
        <v>4</v>
      </c>
    </row>
    <row r="2" spans="1:14" ht="16.5" thickBot="1" x14ac:dyDescent="0.3">
      <c r="A2" s="29"/>
      <c r="B2" s="16">
        <v>-2</v>
      </c>
      <c r="C2" s="3">
        <v>1</v>
      </c>
      <c r="D2" s="4">
        <v>1.1259999999999999E-20</v>
      </c>
      <c r="E2" s="3">
        <v>110905.803973</v>
      </c>
      <c r="F2" s="3">
        <v>101403.25</v>
      </c>
    </row>
    <row r="3" spans="1:14" ht="16.5" thickBot="1" x14ac:dyDescent="0.3">
      <c r="A3" s="29"/>
      <c r="B3" s="17"/>
      <c r="C3" s="3">
        <v>5</v>
      </c>
      <c r="D3" s="4">
        <v>3.506E-22</v>
      </c>
      <c r="E3" s="3">
        <v>110905.803971</v>
      </c>
      <c r="F3" s="3">
        <v>101403.25</v>
      </c>
      <c r="J3" t="s">
        <v>12</v>
      </c>
    </row>
    <row r="4" spans="1:14" ht="16.5" thickBot="1" x14ac:dyDescent="0.3">
      <c r="A4" s="29"/>
      <c r="B4" s="18"/>
      <c r="C4" s="3">
        <v>10</v>
      </c>
      <c r="D4" s="4">
        <v>1.126E-22</v>
      </c>
      <c r="E4" s="3">
        <v>110905.80396600001</v>
      </c>
      <c r="F4" s="3">
        <v>101403.25</v>
      </c>
    </row>
    <row r="5" spans="1:14" ht="16.5" thickBot="1" x14ac:dyDescent="0.3">
      <c r="A5" s="29"/>
      <c r="B5" s="23">
        <v>-2.7</v>
      </c>
      <c r="C5" s="5">
        <v>1</v>
      </c>
      <c r="D5" s="6">
        <v>3.8759999999999998E-20</v>
      </c>
      <c r="E5" s="5">
        <v>97964.642601</v>
      </c>
      <c r="F5" s="5">
        <v>127285.58</v>
      </c>
    </row>
    <row r="6" spans="1:14" ht="16.5" thickBot="1" x14ac:dyDescent="0.3">
      <c r="A6" s="29"/>
      <c r="B6" s="24"/>
      <c r="C6" s="5">
        <v>5</v>
      </c>
      <c r="D6" s="6">
        <v>5.0249999999999999E-24</v>
      </c>
      <c r="E6" s="5">
        <v>97964.642621999999</v>
      </c>
      <c r="F6" s="5">
        <v>127285.58</v>
      </c>
    </row>
    <row r="7" spans="1:14" ht="16.5" thickBot="1" x14ac:dyDescent="0.3">
      <c r="A7" s="29"/>
      <c r="B7" s="25"/>
      <c r="C7" s="5">
        <v>10</v>
      </c>
      <c r="D7" s="6">
        <v>7.7330000000000002E-23</v>
      </c>
      <c r="E7" s="5">
        <v>97964.642598999999</v>
      </c>
      <c r="F7" s="5">
        <v>127285.58</v>
      </c>
    </row>
    <row r="8" spans="1:14" ht="16.5" thickBot="1" x14ac:dyDescent="0.3">
      <c r="A8" s="29"/>
      <c r="B8" s="26">
        <v>-3</v>
      </c>
      <c r="C8" s="7">
        <v>1</v>
      </c>
      <c r="D8" s="8">
        <v>4.391E-20</v>
      </c>
      <c r="E8" s="7">
        <v>103400.67516499999</v>
      </c>
      <c r="F8" s="7">
        <v>116413.51</v>
      </c>
    </row>
    <row r="9" spans="1:14" ht="16.5" thickBot="1" x14ac:dyDescent="0.3">
      <c r="A9" s="29"/>
      <c r="B9" s="27"/>
      <c r="C9" s="7">
        <v>5</v>
      </c>
      <c r="D9" s="8">
        <v>3.5119999999999999E-22</v>
      </c>
      <c r="E9" s="7">
        <v>103400.675183</v>
      </c>
      <c r="F9" s="7">
        <v>116413.51</v>
      </c>
    </row>
    <row r="10" spans="1:14" ht="16.5" thickBot="1" x14ac:dyDescent="0.3">
      <c r="A10" s="29"/>
      <c r="B10" s="28"/>
      <c r="C10" s="7">
        <v>10</v>
      </c>
      <c r="D10" s="8">
        <v>4.3899999999999998E-23</v>
      </c>
      <c r="E10" s="7">
        <v>103400.675172</v>
      </c>
      <c r="F10" s="7">
        <v>116413.51</v>
      </c>
      <c r="I10" s="58" t="s">
        <v>10</v>
      </c>
      <c r="J10" s="58"/>
    </row>
    <row r="11" spans="1:14" ht="15.75" thickBot="1" x14ac:dyDescent="0.3">
      <c r="A11" s="9"/>
      <c r="B11" s="9"/>
      <c r="C11" s="9"/>
      <c r="D11" s="9"/>
      <c r="E11" s="9"/>
      <c r="F11" s="9"/>
      <c r="I11" s="58"/>
      <c r="J11" s="58"/>
    </row>
    <row r="12" spans="1:14" ht="63.75" thickBot="1" x14ac:dyDescent="0.3">
      <c r="A12" s="15" t="s">
        <v>7</v>
      </c>
      <c r="B12" s="1" t="s">
        <v>0</v>
      </c>
      <c r="C12" s="2" t="s">
        <v>1</v>
      </c>
      <c r="D12" s="2" t="s">
        <v>5</v>
      </c>
      <c r="E12" s="2" t="s">
        <v>3</v>
      </c>
      <c r="F12" s="2" t="s">
        <v>4</v>
      </c>
      <c r="I12" s="15" t="s">
        <v>7</v>
      </c>
      <c r="J12" s="37" t="s">
        <v>0</v>
      </c>
      <c r="K12" s="38" t="s">
        <v>1</v>
      </c>
      <c r="L12" s="38" t="s">
        <v>5</v>
      </c>
      <c r="M12" s="38" t="s">
        <v>3</v>
      </c>
      <c r="N12" s="38" t="s">
        <v>4</v>
      </c>
    </row>
    <row r="13" spans="1:14" ht="16.5" thickBot="1" x14ac:dyDescent="0.3">
      <c r="A13" s="15"/>
      <c r="B13" s="16">
        <v>-2</v>
      </c>
      <c r="C13" s="3">
        <v>1</v>
      </c>
      <c r="D13" s="10">
        <v>5.3200000000000004E-19</v>
      </c>
      <c r="E13" s="11">
        <v>110967.856</v>
      </c>
      <c r="F13" s="11">
        <v>101279.149</v>
      </c>
      <c r="I13" s="15"/>
      <c r="J13" s="45">
        <v>-2</v>
      </c>
      <c r="K13" s="39">
        <v>1</v>
      </c>
      <c r="L13" s="54">
        <v>1.06E-20</v>
      </c>
      <c r="M13" s="55">
        <v>110967.886</v>
      </c>
      <c r="N13" s="55">
        <v>101279.08900000001</v>
      </c>
    </row>
    <row r="14" spans="1:14" ht="16.5" thickBot="1" x14ac:dyDescent="0.3">
      <c r="A14" s="15"/>
      <c r="B14" s="17"/>
      <c r="C14" s="3">
        <v>5</v>
      </c>
      <c r="D14" s="12">
        <v>1.07E-21</v>
      </c>
      <c r="E14" s="3">
        <v>259786.63099999999</v>
      </c>
      <c r="F14" s="3">
        <v>126856.459</v>
      </c>
      <c r="I14" s="15"/>
      <c r="J14" s="46"/>
      <c r="K14" s="39">
        <v>5</v>
      </c>
      <c r="L14" s="56">
        <v>4.2599999999999997E-22</v>
      </c>
      <c r="M14" s="39">
        <v>110967.878</v>
      </c>
      <c r="N14" s="39">
        <v>101279.105</v>
      </c>
    </row>
    <row r="15" spans="1:14" ht="16.5" thickBot="1" x14ac:dyDescent="0.3">
      <c r="A15" s="15"/>
      <c r="B15" s="18"/>
      <c r="C15" s="3">
        <v>10</v>
      </c>
      <c r="D15" s="12">
        <v>8.4400000000000005E-23</v>
      </c>
      <c r="E15" s="3">
        <v>391812.60100000002</v>
      </c>
      <c r="F15" s="3">
        <v>186019.37899999999</v>
      </c>
      <c r="I15" s="15"/>
      <c r="J15" s="47"/>
      <c r="K15" s="39">
        <v>10</v>
      </c>
      <c r="L15" s="56">
        <v>1.0600000000000001E-22</v>
      </c>
      <c r="M15" s="39">
        <v>110967.829</v>
      </c>
      <c r="N15" s="39">
        <v>101279.202</v>
      </c>
    </row>
    <row r="16" spans="1:14" ht="16.5" thickBot="1" x14ac:dyDescent="0.3">
      <c r="A16" s="30"/>
      <c r="B16" s="31"/>
      <c r="C16" s="32"/>
      <c r="D16" s="33"/>
      <c r="E16" s="32"/>
      <c r="F16" s="32"/>
      <c r="I16" s="13"/>
      <c r="J16" s="41"/>
      <c r="K16" s="42"/>
      <c r="L16" s="57"/>
      <c r="M16" s="42"/>
      <c r="N16" s="42"/>
    </row>
    <row r="17" spans="1:14" ht="16.5" thickBot="1" x14ac:dyDescent="0.3">
      <c r="A17" s="19" t="s">
        <v>9</v>
      </c>
      <c r="B17" s="20">
        <v>-2</v>
      </c>
      <c r="C17" s="14">
        <v>1</v>
      </c>
      <c r="D17" s="35">
        <f>D13/D2</f>
        <v>47.246891651865013</v>
      </c>
      <c r="E17" s="35">
        <f>E13/E2</f>
        <v>1.0005595020709206</v>
      </c>
      <c r="F17" s="35">
        <f>F13/F2</f>
        <v>0.99877616348588438</v>
      </c>
      <c r="I17" s="19" t="s">
        <v>9</v>
      </c>
      <c r="J17" s="45">
        <v>-2</v>
      </c>
      <c r="K17" s="39">
        <v>1</v>
      </c>
      <c r="L17" s="44">
        <f>L13/D2</f>
        <v>0.94138543516873896</v>
      </c>
      <c r="M17" s="44">
        <f>M13/E2</f>
        <v>1.0005597725707405</v>
      </c>
      <c r="N17" s="44">
        <f>N13/F2</f>
        <v>0.99877557178887266</v>
      </c>
    </row>
    <row r="18" spans="1:14" ht="16.5" thickBot="1" x14ac:dyDescent="0.3">
      <c r="A18" s="19"/>
      <c r="B18" s="21"/>
      <c r="C18" s="14">
        <v>5</v>
      </c>
      <c r="D18" s="35">
        <f>D14/D3</f>
        <v>3.0519110096976614</v>
      </c>
      <c r="E18" s="35">
        <f>E14/E3</f>
        <v>2.342407896596014</v>
      </c>
      <c r="F18" s="35">
        <f>F14/F3</f>
        <v>1.2510097950509476</v>
      </c>
      <c r="I18" s="19"/>
      <c r="J18" s="46"/>
      <c r="K18" s="39">
        <v>5</v>
      </c>
      <c r="L18" s="44">
        <f>L14/D3</f>
        <v>1.2150598973188818</v>
      </c>
      <c r="M18" s="44">
        <f>M14/E3</f>
        <v>1.0005597004554985</v>
      </c>
      <c r="N18" s="44">
        <f>N14/F3</f>
        <v>0.99877572957474237</v>
      </c>
    </row>
    <row r="19" spans="1:14" ht="28.5" customHeight="1" thickBot="1" x14ac:dyDescent="0.3">
      <c r="A19" s="19"/>
      <c r="B19" s="22"/>
      <c r="C19" s="14">
        <v>10</v>
      </c>
      <c r="D19" s="35">
        <f>D15/D4</f>
        <v>0.74955595026642985</v>
      </c>
      <c r="E19" s="35">
        <f>E15/E4</f>
        <v>3.5328412669919116</v>
      </c>
      <c r="F19" s="35">
        <f>F15/F4</f>
        <v>1.8344518444921636</v>
      </c>
      <c r="I19" s="19"/>
      <c r="J19" s="47"/>
      <c r="K19" s="39">
        <v>10</v>
      </c>
      <c r="L19" s="44">
        <f>L15/D4</f>
        <v>0.94138543516873896</v>
      </c>
      <c r="M19" s="44">
        <f>M15/E4</f>
        <v>1.0005592586842345</v>
      </c>
      <c r="N19" s="44">
        <f>N15/F4</f>
        <v>0.998776686151578</v>
      </c>
    </row>
    <row r="20" spans="1:14" ht="15.75" thickBot="1" x14ac:dyDescent="0.3">
      <c r="A20" s="9"/>
      <c r="B20" s="9"/>
      <c r="C20" s="9"/>
      <c r="D20" s="9"/>
      <c r="E20" s="9"/>
      <c r="F20" s="9"/>
    </row>
    <row r="21" spans="1:14" ht="32.25" thickBot="1" x14ac:dyDescent="0.3">
      <c r="A21" s="15" t="s">
        <v>8</v>
      </c>
      <c r="B21" s="1" t="s">
        <v>0</v>
      </c>
      <c r="C21" s="2" t="s">
        <v>1</v>
      </c>
      <c r="D21" s="2" t="s">
        <v>2</v>
      </c>
      <c r="E21" s="2" t="s">
        <v>3</v>
      </c>
      <c r="F21" s="2" t="s">
        <v>4</v>
      </c>
      <c r="I21" s="15" t="s">
        <v>11</v>
      </c>
      <c r="J21" s="37" t="s">
        <v>0</v>
      </c>
      <c r="K21" s="38" t="s">
        <v>1</v>
      </c>
      <c r="L21" s="38" t="s">
        <v>2</v>
      </c>
      <c r="M21" s="38" t="s">
        <v>3</v>
      </c>
      <c r="N21" s="38" t="s">
        <v>4</v>
      </c>
    </row>
    <row r="22" spans="1:14" ht="16.5" thickBot="1" x14ac:dyDescent="0.3">
      <c r="A22" s="15"/>
      <c r="B22" s="16">
        <v>-2</v>
      </c>
      <c r="C22" s="3">
        <v>1</v>
      </c>
      <c r="D22" s="4">
        <v>1.0599999999999999E-18</v>
      </c>
      <c r="E22" s="3">
        <v>221935.70199999999</v>
      </c>
      <c r="F22" s="3">
        <v>202558.31700000001</v>
      </c>
      <c r="I22" s="15"/>
      <c r="J22" s="45">
        <v>-2</v>
      </c>
      <c r="K22" s="39">
        <v>1</v>
      </c>
      <c r="L22" s="40">
        <v>2.12E-20</v>
      </c>
      <c r="M22" s="39">
        <v>221935.70499999999</v>
      </c>
      <c r="N22" s="39">
        <v>202558.31</v>
      </c>
    </row>
    <row r="23" spans="1:14" ht="16.5" thickBot="1" x14ac:dyDescent="0.3">
      <c r="A23" s="15"/>
      <c r="B23" s="17"/>
      <c r="C23" s="3">
        <v>5</v>
      </c>
      <c r="D23" s="4">
        <v>2.14E-21</v>
      </c>
      <c r="E23" s="3">
        <v>519573.26199999999</v>
      </c>
      <c r="F23" s="3">
        <v>253712.91800000001</v>
      </c>
      <c r="I23" s="15"/>
      <c r="J23" s="46"/>
      <c r="K23" s="39">
        <v>5</v>
      </c>
      <c r="L23" s="40">
        <v>8.5300000000000001E-22</v>
      </c>
      <c r="M23" s="39">
        <v>221935.80900000001</v>
      </c>
      <c r="N23" s="39">
        <v>202558.103</v>
      </c>
    </row>
    <row r="24" spans="1:14" ht="16.5" thickBot="1" x14ac:dyDescent="0.3">
      <c r="A24" s="15"/>
      <c r="B24" s="18"/>
      <c r="C24" s="3">
        <v>10</v>
      </c>
      <c r="D24" s="4">
        <v>1.69E-22</v>
      </c>
      <c r="E24" s="3">
        <v>783625.03899999999</v>
      </c>
      <c r="F24" s="3">
        <v>372039.08500000002</v>
      </c>
      <c r="I24" s="15"/>
      <c r="J24" s="47"/>
      <c r="K24" s="39">
        <v>10</v>
      </c>
      <c r="L24" s="40">
        <v>2.1200000000000002E-22</v>
      </c>
      <c r="M24" s="39">
        <v>221935.68299999999</v>
      </c>
      <c r="N24" s="39">
        <v>202558.356</v>
      </c>
    </row>
    <row r="25" spans="1:14" ht="16.5" thickBot="1" x14ac:dyDescent="0.3">
      <c r="A25" s="30"/>
      <c r="B25" s="31"/>
      <c r="C25" s="32"/>
      <c r="D25" s="34"/>
      <c r="E25" s="32"/>
      <c r="F25" s="32"/>
      <c r="J25" s="41"/>
      <c r="K25" s="42"/>
      <c r="L25" s="43"/>
      <c r="M25" s="42"/>
      <c r="N25" s="42"/>
    </row>
    <row r="26" spans="1:14" ht="16.5" thickBot="1" x14ac:dyDescent="0.3">
      <c r="B26" s="16">
        <v>-2</v>
      </c>
      <c r="C26" s="3">
        <v>1</v>
      </c>
      <c r="D26" s="36">
        <f>D22/D2</f>
        <v>94.138543516873895</v>
      </c>
      <c r="E26" s="36">
        <f>E22/E2</f>
        <v>2.0011189139752341</v>
      </c>
      <c r="F26" s="36">
        <f>F22/F2</f>
        <v>1.997552514342489</v>
      </c>
      <c r="J26" s="45">
        <v>-2</v>
      </c>
      <c r="K26" s="39">
        <v>1</v>
      </c>
      <c r="L26" s="44">
        <f>L22/D2</f>
        <v>1.8827708703374779</v>
      </c>
      <c r="M26" s="44">
        <f>M22/E2</f>
        <v>2.0011189410252164</v>
      </c>
      <c r="N26" s="44">
        <f>N22/F2</f>
        <v>1.997552445311171</v>
      </c>
    </row>
    <row r="27" spans="1:14" ht="16.5" thickBot="1" x14ac:dyDescent="0.3">
      <c r="B27" s="17"/>
      <c r="C27" s="3">
        <v>5</v>
      </c>
      <c r="D27" s="36">
        <f>D23/D3</f>
        <v>6.1038220193953228</v>
      </c>
      <c r="E27" s="36">
        <f>E23/E3</f>
        <v>4.684815793192028</v>
      </c>
      <c r="F27" s="36">
        <f>F23/F3</f>
        <v>2.5020195901018951</v>
      </c>
      <c r="J27" s="46"/>
      <c r="K27" s="39">
        <v>5</v>
      </c>
      <c r="L27" s="44">
        <f>L23/D3</f>
        <v>2.4329720479178554</v>
      </c>
      <c r="M27" s="44">
        <f>M23/E3</f>
        <v>2.0011198787940123</v>
      </c>
      <c r="N27" s="44">
        <f>N23/F3</f>
        <v>1.9975504039564806</v>
      </c>
    </row>
    <row r="28" spans="1:14" ht="16.5" thickBot="1" x14ac:dyDescent="0.3">
      <c r="B28" s="18"/>
      <c r="C28" s="3">
        <v>10</v>
      </c>
      <c r="D28" s="36">
        <f>D24/D4</f>
        <v>1.5008880994671403</v>
      </c>
      <c r="E28" s="36">
        <f>E24/E4</f>
        <v>7.0656810642681345</v>
      </c>
      <c r="F28" s="36">
        <f>F24/F4</f>
        <v>3.6689069137330415</v>
      </c>
      <c r="J28" s="47"/>
      <c r="K28" s="39">
        <v>10</v>
      </c>
      <c r="L28" s="44">
        <f>L24/D4</f>
        <v>1.8827708703374779</v>
      </c>
      <c r="M28" s="44">
        <f>M24/E4</f>
        <v>2.0011187427849855</v>
      </c>
      <c r="N28" s="44">
        <f>N24/F4</f>
        <v>1.9975528989455467</v>
      </c>
    </row>
    <row r="29" spans="1:14" ht="15.75" thickBot="1" x14ac:dyDescent="0.3">
      <c r="A29" s="9"/>
      <c r="B29" s="9"/>
      <c r="C29" s="9"/>
      <c r="D29" s="9"/>
      <c r="E29" s="9"/>
      <c r="F29" s="9"/>
    </row>
    <row r="30" spans="1:14" ht="32.25" thickBot="1" x14ac:dyDescent="0.3">
      <c r="B30" s="37" t="s">
        <v>0</v>
      </c>
      <c r="C30" s="38" t="s">
        <v>1</v>
      </c>
      <c r="D30" s="38" t="s">
        <v>2</v>
      </c>
      <c r="E30" s="38" t="s">
        <v>3</v>
      </c>
      <c r="F30" s="38" t="s">
        <v>4</v>
      </c>
    </row>
    <row r="31" spans="1:14" ht="16.5" thickBot="1" x14ac:dyDescent="0.3">
      <c r="B31" s="48">
        <v>-2.7</v>
      </c>
      <c r="C31" s="49">
        <v>1</v>
      </c>
      <c r="D31" s="50"/>
      <c r="E31" s="49"/>
      <c r="F31" s="49">
        <v>127070.35314799999</v>
      </c>
    </row>
    <row r="32" spans="1:14" ht="16.5" thickBot="1" x14ac:dyDescent="0.3">
      <c r="B32" s="51"/>
      <c r="C32" s="49">
        <v>5</v>
      </c>
      <c r="D32" s="50"/>
      <c r="E32" s="49"/>
      <c r="F32" s="49">
        <v>135540.10789700001</v>
      </c>
    </row>
    <row r="33" spans="2:6" ht="16.5" thickBot="1" x14ac:dyDescent="0.3">
      <c r="B33" s="52"/>
      <c r="C33" s="49">
        <v>10</v>
      </c>
      <c r="D33" s="50"/>
      <c r="E33" s="49"/>
      <c r="F33" s="49">
        <v>18849.442483999999</v>
      </c>
    </row>
    <row r="34" spans="2:6" ht="16.5" thickBot="1" x14ac:dyDescent="0.3">
      <c r="B34" s="41"/>
      <c r="C34" s="42"/>
      <c r="D34" s="43"/>
      <c r="E34" s="42"/>
      <c r="F34" s="42"/>
    </row>
    <row r="35" spans="2:6" ht="16.5" thickBot="1" x14ac:dyDescent="0.3">
      <c r="B35" s="48">
        <v>-2.7</v>
      </c>
      <c r="C35" s="49">
        <v>1</v>
      </c>
      <c r="D35" s="53"/>
      <c r="E35" s="53"/>
      <c r="F35" s="53"/>
    </row>
    <row r="36" spans="2:6" ht="16.5" thickBot="1" x14ac:dyDescent="0.3">
      <c r="B36" s="51"/>
      <c r="C36" s="49">
        <v>5</v>
      </c>
      <c r="D36" s="53"/>
      <c r="E36" s="53"/>
      <c r="F36" s="53"/>
    </row>
    <row r="37" spans="2:6" ht="16.5" thickBot="1" x14ac:dyDescent="0.3">
      <c r="B37" s="52"/>
      <c r="C37" s="49">
        <v>10</v>
      </c>
      <c r="D37" s="53"/>
      <c r="E37" s="53"/>
      <c r="F37" s="53"/>
    </row>
  </sheetData>
  <mergeCells count="21">
    <mergeCell ref="I10:J11"/>
    <mergeCell ref="J22:J24"/>
    <mergeCell ref="J26:J28"/>
    <mergeCell ref="I21:I24"/>
    <mergeCell ref="B31:B33"/>
    <mergeCell ref="B35:B37"/>
    <mergeCell ref="I12:I15"/>
    <mergeCell ref="J13:J15"/>
    <mergeCell ref="I17:I19"/>
    <mergeCell ref="J17:J19"/>
    <mergeCell ref="B2:B4"/>
    <mergeCell ref="B5:B7"/>
    <mergeCell ref="B8:B10"/>
    <mergeCell ref="A1:A10"/>
    <mergeCell ref="A12:A15"/>
    <mergeCell ref="B13:B15"/>
    <mergeCell ref="A21:A24"/>
    <mergeCell ref="B22:B24"/>
    <mergeCell ref="A17:A19"/>
    <mergeCell ref="B17:B19"/>
    <mergeCell ref="B26:B2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Zyla, Phoebe</dc:creator>
  <cp:lastModifiedBy>Zyla, Phoebe</cp:lastModifiedBy>
  <dcterms:created xsi:type="dcterms:W3CDTF">2026-07-21T20:26:30Z</dcterms:created>
  <dcterms:modified xsi:type="dcterms:W3CDTF">2026-07-24T20:08:57Z</dcterms:modified>
</cp:coreProperties>
</file>